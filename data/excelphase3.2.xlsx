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ocuments\Excelium\data\"/>
    </mc:Choice>
  </mc:AlternateContent>
  <xr:revisionPtr revIDLastSave="0" documentId="13_ncr:1_{5CD06079-7610-446F-B573-C6AD84908B35}" xr6:coauthVersionLast="47" xr6:coauthVersionMax="47" xr10:uidLastSave="{00000000-0000-0000-0000-000000000000}"/>
  <bookViews>
    <workbookView xWindow="2273" yWindow="1373" windowWidth="16200" windowHeight="9307" activeTab="1" xr2:uid="{00000000-000D-0000-FFFF-FFFF00000000}"/>
  </bookViews>
  <sheets>
    <sheet name="customers" sheetId="1" r:id="rId1"/>
    <sheet name="orders" sheetId="2" r:id="rId2"/>
    <sheet name="repo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6" i="3"/>
  <c r="F6" i="3"/>
  <c r="D6" i="3"/>
  <c r="C6" i="3"/>
  <c r="B6" i="3"/>
  <c r="G5" i="3"/>
  <c r="F5" i="3"/>
  <c r="D5" i="3"/>
  <c r="C5" i="3"/>
  <c r="B5" i="3"/>
  <c r="H4" i="3"/>
  <c r="G4" i="3"/>
  <c r="F4" i="3"/>
  <c r="D4" i="3"/>
  <c r="C4" i="3"/>
  <c r="B4" i="3"/>
  <c r="G3" i="3"/>
  <c r="F3" i="3"/>
  <c r="C3" i="3"/>
  <c r="B3" i="3"/>
  <c r="G2" i="3"/>
  <c r="F2" i="3"/>
  <c r="C2" i="3"/>
  <c r="B2" i="3"/>
  <c r="H6" i="2"/>
  <c r="G6" i="2"/>
  <c r="F6" i="2"/>
  <c r="H5" i="2"/>
  <c r="G5" i="2"/>
  <c r="F5" i="2"/>
  <c r="H4" i="2"/>
  <c r="G4" i="2"/>
  <c r="F4" i="2"/>
  <c r="H3" i="2"/>
  <c r="G3" i="2"/>
  <c r="F3" i="2"/>
  <c r="H2" i="2"/>
  <c r="F2" i="2"/>
  <c r="H3" i="3" l="1"/>
  <c r="H2" i="3"/>
  <c r="D3" i="3"/>
  <c r="D2" i="3"/>
  <c r="H6" i="3"/>
  <c r="H5" i="3"/>
</calcChain>
</file>

<file path=xl/sharedStrings.xml><?xml version="1.0" encoding="utf-8"?>
<sst xmlns="http://schemas.openxmlformats.org/spreadsheetml/2006/main" count="59" uniqueCount="44">
  <si>
    <t>customer_id</t>
  </si>
  <si>
    <t>first_name</t>
  </si>
  <si>
    <t>last_name</t>
  </si>
  <si>
    <t>city</t>
  </si>
  <si>
    <t>province</t>
  </si>
  <si>
    <t>age</t>
  </si>
  <si>
    <t>email</t>
  </si>
  <si>
    <t>loyalty_points</t>
  </si>
  <si>
    <t>Sophie</t>
  </si>
  <si>
    <t>Tremblay</t>
  </si>
  <si>
    <t>Montreal</t>
  </si>
  <si>
    <t>QC</t>
  </si>
  <si>
    <t>sophie@email.ca</t>
  </si>
  <si>
    <t>Marc</t>
  </si>
  <si>
    <t>Gagnon</t>
  </si>
  <si>
    <t>Laval</t>
  </si>
  <si>
    <t>marc@email.ca</t>
  </si>
  <si>
    <t>Sarah</t>
  </si>
  <si>
    <t>Roy</t>
  </si>
  <si>
    <t>Longueuil</t>
  </si>
  <si>
    <t>sarah@email.ca</t>
  </si>
  <si>
    <t>David</t>
  </si>
  <si>
    <t>Bouchard</t>
  </si>
  <si>
    <t>david@email.ca</t>
  </si>
  <si>
    <t>Emma</t>
  </si>
  <si>
    <t>Cote</t>
  </si>
  <si>
    <t>emma@email.ca</t>
  </si>
  <si>
    <t>order_id</t>
  </si>
  <si>
    <t>product</t>
  </si>
  <si>
    <t>quantity</t>
  </si>
  <si>
    <t>unit_price</t>
  </si>
  <si>
    <t>subtotal</t>
  </si>
  <si>
    <t>customer_name</t>
  </si>
  <si>
    <t>Laptop</t>
  </si>
  <si>
    <t>Monitor</t>
  </si>
  <si>
    <t>Keyboard</t>
  </si>
  <si>
    <t>Mouse</t>
  </si>
  <si>
    <t>Webcam</t>
  </si>
  <si>
    <t>report_id</t>
  </si>
  <si>
    <t>total_points</t>
  </si>
  <si>
    <t>order_value</t>
  </si>
  <si>
    <t>status</t>
  </si>
  <si>
    <t>summary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</si>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</sst>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C3" sqref="C3"/>
    </sheetView>
  </sheetViews>
  <sheetFormatPr baseColWidth="10" defaultColWidth="9.06640625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28</v>
      </c>
      <c r="G2" t="s">
        <v>12</v>
      </c>
      <c r="H2">
        <v>150</v>
      </c>
    </row>
    <row r="3" spans="1:8" x14ac:dyDescent="0.45">
      <c r="A3">
        <v>2</v>
      </c>
      <c r="B3" t="s">
        <v>13</v>
      </c>
      <c r="C3" t="s">
        <v>14</v>
      </c>
      <c r="D3" t="s">
        <v>15</v>
      </c>
      <c r="E3" t="s">
        <v>11</v>
      </c>
      <c r="F3">
        <v>35</v>
      </c>
      <c r="G3" t="s">
        <v>16</v>
      </c>
      <c r="H3">
        <v>220</v>
      </c>
    </row>
    <row r="4" spans="1:8" x14ac:dyDescent="0.45">
      <c r="A4">
        <v>3</v>
      </c>
      <c r="B4" t="s">
        <v>17</v>
      </c>
      <c r="C4" t="s">
        <v>18</v>
      </c>
      <c r="D4" t="s">
        <v>19</v>
      </c>
      <c r="E4" t="s">
        <v>11</v>
      </c>
      <c r="F4">
        <v>24</v>
      </c>
      <c r="G4" t="s">
        <v>20</v>
      </c>
      <c r="H4">
        <v>90</v>
      </c>
    </row>
    <row r="5" spans="1:8" x14ac:dyDescent="0.45">
      <c r="A5">
        <v>4</v>
      </c>
      <c r="B5" t="s">
        <v>21</v>
      </c>
      <c r="C5" t="s">
        <v>22</v>
      </c>
      <c r="D5" t="s">
        <v>10</v>
      </c>
      <c r="E5" t="s">
        <v>11</v>
      </c>
      <c r="F5">
        <v>42</v>
      </c>
      <c r="G5" t="s">
        <v>23</v>
      </c>
      <c r="H5">
        <v>310</v>
      </c>
    </row>
    <row r="6" spans="1:8" x14ac:dyDescent="0.45">
      <c r="A6">
        <v>5</v>
      </c>
      <c r="B6" t="s">
        <v>24</v>
      </c>
      <c r="C6" t="s">
        <v>25</v>
      </c>
      <c r="D6" t="s">
        <v>15</v>
      </c>
      <c r="E6" t="s">
        <v>11</v>
      </c>
      <c r="F6">
        <v>31</v>
      </c>
      <c r="G6" t="s">
        <v>26</v>
      </c>
      <c r="H6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F12" sqref="F12"/>
    </sheetView>
  </sheetViews>
  <sheetFormatPr baseColWidth="10" defaultColWidth="9.06640625" defaultRowHeight="14.25" x14ac:dyDescent="0.45"/>
  <sheetData>
    <row r="1" spans="1:8" x14ac:dyDescent="0.45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</v>
      </c>
    </row>
    <row r="2" spans="1:8" x14ac:dyDescent="0.45">
      <c r="A2">
        <v>1001</v>
      </c>
      <c r="B2">
        <v>1</v>
      </c>
      <c r="C2" t="s">
        <v>33</v>
      </c>
      <c r="D2">
        <v>1</v>
      </c>
      <c r="E2">
        <v>1200</v>
      </c>
      <c r="F2">
        <f>D2*E2</f>
        <v>1200</v>
      </c>
      <c r="G2" t="str">
        <f>customers!B2</f>
        <v>Sophie</v>
      </c>
      <c r="H2" t="str">
        <f>customers!D2</f>
        <v>Montreal</v>
      </c>
    </row>
    <row r="3" spans="1:8" x14ac:dyDescent="0.45">
      <c r="A3">
        <v>1002</v>
      </c>
      <c r="B3">
        <v>2</v>
      </c>
      <c r="C3" t="s">
        <v>34</v>
      </c>
      <c r="D3">
        <v>2</v>
      </c>
      <c r="E3">
        <v>300</v>
      </c>
      <c r="F3">
        <f>D3*E3</f>
        <v>600</v>
      </c>
      <c r="G3" t="str">
        <f>customers!B3</f>
        <v>Marc</v>
      </c>
      <c r="H3" t="str">
        <f>customers!D3</f>
        <v>Laval</v>
      </c>
    </row>
    <row r="4" spans="1:8" x14ac:dyDescent="0.45">
      <c r="A4">
        <v>1003</v>
      </c>
      <c r="B4">
        <v>3</v>
      </c>
      <c r="C4" t="s">
        <v>35</v>
      </c>
      <c r="D4">
        <v>1</v>
      </c>
      <c r="E4">
        <v>120</v>
      </c>
      <c r="F4">
        <f>D4*E4</f>
        <v>120</v>
      </c>
      <c r="G4" t="str">
        <f>customers!B4</f>
        <v>Sarah</v>
      </c>
      <c r="H4" t="str">
        <f>customers!D4</f>
        <v>Longueuil</v>
      </c>
    </row>
    <row r="5" spans="1:8" x14ac:dyDescent="0.45">
      <c r="A5">
        <v>1004</v>
      </c>
      <c r="B5">
        <v>4</v>
      </c>
      <c r="C5" t="s">
        <v>36</v>
      </c>
      <c r="D5">
        <v>3</v>
      </c>
      <c r="E5">
        <v>50</v>
      </c>
      <c r="F5">
        <f>D5*E5</f>
        <v>150</v>
      </c>
      <c r="G5" t="str">
        <f>customers!B5</f>
        <v>David</v>
      </c>
      <c r="H5" t="str">
        <f>customers!D5</f>
        <v>Montreal</v>
      </c>
    </row>
    <row r="6" spans="1:8" x14ac:dyDescent="0.45">
      <c r="A6">
        <v>1005</v>
      </c>
      <c r="B6">
        <v>5</v>
      </c>
      <c r="C6" t="s">
        <v>37</v>
      </c>
      <c r="D6">
        <v>2</v>
      </c>
      <c r="E6">
        <v>90</v>
      </c>
      <c r="F6">
        <f>D6*E6</f>
        <v>180</v>
      </c>
      <c r="G6" t="str">
        <f>customers!B6</f>
        <v>Emma</v>
      </c>
      <c r="H6" t="str">
        <f>customers!D6</f>
        <v>Laval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baseColWidth="10" defaultColWidth="9.06640625" defaultRowHeight="14.25" x14ac:dyDescent="0.45"/>
  <sheetData>
    <row r="1" spans="1:8" x14ac:dyDescent="0.45">
      <c r="A1" t="s">
        <v>38</v>
      </c>
      <c r="B1" t="s">
        <v>32</v>
      </c>
      <c r="C1" t="s">
        <v>39</v>
      </c>
      <c r="D1" t="s">
        <v>40</v>
      </c>
      <c r="E1" t="s">
        <v>41</v>
      </c>
      <c r="F1" t="s">
        <v>3</v>
      </c>
      <c r="G1" t="s">
        <v>4</v>
      </c>
      <c r="H1" t="s">
        <v>42</v>
      </c>
    </row>
    <row r="2" spans="1:8" x14ac:dyDescent="0.45">
      <c r="A2">
        <v>1</v>
      </c>
      <c r="B2" t="str">
        <f>customers!B2</f>
        <v>Sophie</v>
      </c>
      <c r="C2">
        <f>customers!H2</f>
        <v>150</v>
      </c>
      <c r="D2">
        <f>orders!F2</f>
        <v>1200</v>
      </c>
      <c r="E2" t="s">
        <v>43</v>
      </c>
      <c r="F2" t="str">
        <f>customers!D2</f>
        <v>Montreal</v>
      </c>
      <c r="G2" t="str">
        <f>customers!E2</f>
        <v>QC</v>
      </c>
      <c r="H2" t="str">
        <f>B2&amp;" - "&amp;E2</f>
        <v>Sophie - Active</v>
      </c>
    </row>
    <row r="3" spans="1:8" x14ac:dyDescent="0.45">
      <c r="A3">
        <v>2</v>
      </c>
      <c r="B3" t="str">
        <f>customers!B3</f>
        <v>Marc</v>
      </c>
      <c r="C3">
        <f>customers!H3</f>
        <v>220</v>
      </c>
      <c r="D3">
        <f>orders!F3</f>
        <v>600</v>
      </c>
      <c r="E3" t="s">
        <v>43</v>
      </c>
      <c r="F3" t="str">
        <f>customers!D3</f>
        <v>Laval</v>
      </c>
      <c r="G3" t="str">
        <f>customers!E3</f>
        <v>QC</v>
      </c>
      <c r="H3" t="str">
        <f>B3&amp;" - "&amp;E3</f>
        <v>Marc - Active</v>
      </c>
    </row>
    <row r="4" spans="1:8" x14ac:dyDescent="0.45">
      <c r="A4">
        <v>3</v>
      </c>
      <c r="B4" t="str">
        <f>customers!B4</f>
        <v>Sarah</v>
      </c>
      <c r="C4">
        <f>customers!H4</f>
        <v>90</v>
      </c>
      <c r="D4">
        <f>orders!F4</f>
        <v>120</v>
      </c>
      <c r="E4" t="s">
        <v>43</v>
      </c>
      <c r="F4" t="str">
        <f>customers!D4</f>
        <v>Longueuil</v>
      </c>
      <c r="G4" t="str">
        <f>customers!E4</f>
        <v>QC</v>
      </c>
      <c r="H4" t="str">
        <f>B4&amp;" - "&amp;E4</f>
        <v>Sarah - Active</v>
      </c>
    </row>
    <row r="5" spans="1:8" x14ac:dyDescent="0.45">
      <c r="A5">
        <v>4</v>
      </c>
      <c r="B5" t="str">
        <f>customers!B5</f>
        <v>David</v>
      </c>
      <c r="C5">
        <f>customers!H5</f>
        <v>310</v>
      </c>
      <c r="D5">
        <f>orders!F5</f>
        <v>150</v>
      </c>
      <c r="E5" t="s">
        <v>43</v>
      </c>
      <c r="F5" t="str">
        <f>customers!D5</f>
        <v>Montreal</v>
      </c>
      <c r="G5" t="str">
        <f>customers!E5</f>
        <v>QC</v>
      </c>
      <c r="H5" t="str">
        <f>B5&amp;" - "&amp;E5</f>
        <v>David - Active</v>
      </c>
    </row>
    <row r="6" spans="1:8" x14ac:dyDescent="0.45">
      <c r="A6">
        <v>5</v>
      </c>
      <c r="B6" t="str">
        <f>customers!B6</f>
        <v>Emma</v>
      </c>
      <c r="C6">
        <f>customers!H6</f>
        <v>180</v>
      </c>
      <c r="D6">
        <f>orders!F6</f>
        <v>180</v>
      </c>
      <c r="E6" t="s">
        <v>43</v>
      </c>
      <c r="F6" t="str">
        <f>customers!D6</f>
        <v>Laval</v>
      </c>
      <c r="G6" t="str">
        <f>customers!E6</f>
        <v>QC</v>
      </c>
      <c r="H6" t="str">
        <f>B6&amp;" - "&amp;E6</f>
        <v>Emma - Active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customers</vt:lpstr>
      <vt:lpstr>orders</vt:lpstr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ROMDHANE</cp:lastModifiedBy>
  <dcterms:created xsi:type="dcterms:W3CDTF">2026-06-14T02:13:37Z</dcterms:created>
  <dcterms:modified xsi:type="dcterms:W3CDTF">2026-06-16T16:27:05Z</dcterms:modified>
</cp:coreProperties>
</file>